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mst\Downloads\"/>
    </mc:Choice>
  </mc:AlternateContent>
  <xr:revisionPtr revIDLastSave="0" documentId="13_ncr:1_{E5C65094-4903-47CB-9DB7-C70DF549EE9F}" xr6:coauthVersionLast="47" xr6:coauthVersionMax="47" xr10:uidLastSave="{00000000-0000-0000-0000-000000000000}"/>
  <bookViews>
    <workbookView xWindow="-110" yWindow="-110" windowWidth="19420" windowHeight="10300" firstSheet="3" activeTab="5" xr2:uid="{67C577E4-C532-4595-B904-8490A5A400C8}"/>
  </bookViews>
  <sheets>
    <sheet name="Hoja1" sheetId="1" r:id="rId1"/>
    <sheet name="PIB" sheetId="5" r:id="rId2"/>
    <sheet name="Tasa participción femenina" sheetId="2" r:id="rId3"/>
    <sheet name="Presupuestos genero" sheetId="3" r:id="rId4"/>
    <sheet name="Brecha salarial" sheetId="4" r:id="rId5"/>
    <sheet name="Mujeres_cargos_directivo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5" l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5" i="5"/>
</calcChain>
</file>

<file path=xl/sharedStrings.xml><?xml version="1.0" encoding="utf-8"?>
<sst xmlns="http://schemas.openxmlformats.org/spreadsheetml/2006/main" count="60" uniqueCount="50">
  <si>
    <t>Año</t>
  </si>
  <si>
    <t>Country Name</t>
  </si>
  <si>
    <t>Country Code</t>
  </si>
  <si>
    <t>Indicator Name</t>
  </si>
  <si>
    <t>Indicator Code</t>
  </si>
  <si>
    <t>México</t>
  </si>
  <si>
    <t>MEX</t>
  </si>
  <si>
    <t>Tasa de participación en la fuerza laboral, mujeres (% de la población femenina entre 15-64 años) (estimación modelado OIT)</t>
  </si>
  <si>
    <t>SL.TLF.ACTI.FE.ZS</t>
  </si>
  <si>
    <t>https://datos.bancomundial.org/indicator/SL.TLF.ACTI.FE.ZS?end=2024&amp;start=2024&amp;view=bar</t>
  </si>
  <si>
    <t>Presupuesto con perspectiva de género 2015-2025</t>
  </si>
  <si>
    <t>AÑO </t>
  </si>
  <si>
    <t>Presupuesto (Pesos) </t>
  </si>
  <si>
    <t>2015 </t>
  </si>
  <si>
    <t>24,308,185,225 </t>
  </si>
  <si>
    <t>2016 </t>
  </si>
  <si>
    <t>25,898,525,508 </t>
  </si>
  <si>
    <t>2017 </t>
  </si>
  <si>
    <t>27,424,643,718 </t>
  </si>
  <si>
    <t>2018 </t>
  </si>
  <si>
    <t>47,918,431,176 </t>
  </si>
  <si>
    <t>2019 </t>
  </si>
  <si>
    <t>64,656,150,813 </t>
  </si>
  <si>
    <t>2020 </t>
  </si>
  <si>
    <t>103,517,827,649 </t>
  </si>
  <si>
    <t>2021 </t>
  </si>
  <si>
    <t>128,353,630,307 </t>
  </si>
  <si>
    <t>2022 </t>
  </si>
  <si>
    <t>233,732,297,648 </t>
  </si>
  <si>
    <t>2023 </t>
  </si>
  <si>
    <t>348,362,409,335 </t>
  </si>
  <si>
    <t>2024 </t>
  </si>
  <si>
    <t>419,434,147,380 </t>
  </si>
  <si>
    <t>2025 </t>
  </si>
  <si>
    <t>479,248,382,179 </t>
  </si>
  <si>
    <t>AÑO</t>
  </si>
  <si>
    <t>Presupuesto (Miles de millones de pesos)</t>
  </si>
  <si>
    <t>TCA</t>
  </si>
  <si>
    <t>-</t>
  </si>
  <si>
    <t>Tasa participación femenina (%)</t>
  </si>
  <si>
    <t>Brecha salarial (%)</t>
  </si>
  <si>
    <t>https://www.oecd.org/en/data/indicators/gender-wage-gap.html</t>
  </si>
  <si>
    <t>PIB (US$ a precios actuales)</t>
  </si>
  <si>
    <t>NY.GDP.MKTP.CD</t>
  </si>
  <si>
    <t>A miles de millones de US$</t>
  </si>
  <si>
    <t>PIB (US$ a precios actuales) Miles de millones</t>
  </si>
  <si>
    <t>https://datos.bancomundial.org/indicador/NY.GDP.MKTP.CD</t>
  </si>
  <si>
    <t>puestos de alta dirección ocupados por mujeres(%)</t>
  </si>
  <si>
    <t>Mujeres_directivas(%).</t>
  </si>
  <si>
    <t>https://www.grantthornton.global/en/insights/women-in-business/women-in-business-2025/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</si>
</sst>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[$$-80A]* #,##0.00_-;\-[$$-80A]* #,##0.00_-;_-[$$-80A]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0" xfId="0" applyAlignment="1">
      <alignment vertical="top" wrapText="1"/>
    </xf>
    <xf numFmtId="164" fontId="2" fillId="0" borderId="0" xfId="1" applyNumberFormat="1" applyFont="1" applyBorder="1" applyAlignment="1">
      <alignment vertical="center" wrapText="1"/>
    </xf>
    <xf numFmtId="44" fontId="2" fillId="0" borderId="0" xfId="1" applyFont="1" applyBorder="1" applyAlignment="1">
      <alignment vertical="center"/>
    </xf>
    <xf numFmtId="164" fontId="2" fillId="0" borderId="0" xfId="1" applyNumberFormat="1" applyFont="1" applyBorder="1" applyAlignment="1">
      <alignment vertical="center"/>
    </xf>
    <xf numFmtId="9" fontId="2" fillId="0" borderId="0" xfId="0" applyNumberFormat="1" applyFont="1" applyAlignment="1">
      <alignment vertical="center" wrapText="1"/>
    </xf>
    <xf numFmtId="0" fontId="0" fillId="0" borderId="0" xfId="0" applyAlignment="1">
      <alignment wrapText="1"/>
    </xf>
    <xf numFmtId="2" fontId="0" fillId="0" borderId="0" xfId="0" applyNumberFormat="1"/>
    <xf numFmtId="0" fontId="2" fillId="0" borderId="0" xfId="0" applyFont="1" applyAlignment="1">
      <alignment vertical="center" wrapText="1"/>
    </xf>
    <xf numFmtId="0" fontId="3" fillId="0" borderId="0" xfId="2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rantthornton.global/en/insights/women-in-business/women-in-business-202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267AB-C817-4F08-8EFC-70D6CC06B1EE}">
  <dimension ref="A1:F11"/>
  <sheetViews>
    <sheetView zoomScale="134" workbookViewId="0">
      <selection activeCell="I1" sqref="I1"/>
    </sheetView>
  </sheetViews>
  <sheetFormatPr baseColWidth="10" defaultRowHeight="14.5" x14ac:dyDescent="0.35"/>
  <cols>
    <col min="3" max="3" width="13.453125" customWidth="1"/>
  </cols>
  <sheetData>
    <row r="1" spans="1:6" ht="87" x14ac:dyDescent="0.35">
      <c r="A1" t="s">
        <v>0</v>
      </c>
      <c r="B1" s="8" t="s">
        <v>45</v>
      </c>
      <c r="C1" s="8" t="s">
        <v>39</v>
      </c>
      <c r="D1" s="8" t="s">
        <v>36</v>
      </c>
      <c r="E1" s="8" t="s">
        <v>40</v>
      </c>
      <c r="F1" s="8" t="s">
        <v>47</v>
      </c>
    </row>
    <row r="2" spans="1:6" x14ac:dyDescent="0.35">
      <c r="A2">
        <v>2015</v>
      </c>
      <c r="B2">
        <v>1213.2944677799799</v>
      </c>
      <c r="C2" s="9">
        <v>46.978000000000002</v>
      </c>
      <c r="D2">
        <v>24.31</v>
      </c>
      <c r="E2">
        <v>11.95265257</v>
      </c>
      <c r="F2">
        <v>22.5</v>
      </c>
    </row>
    <row r="3" spans="1:6" x14ac:dyDescent="0.35">
      <c r="A3">
        <v>2016</v>
      </c>
      <c r="B3">
        <v>1112.2334974527</v>
      </c>
      <c r="C3" s="9">
        <v>47.113999999999997</v>
      </c>
      <c r="D3">
        <v>25.9</v>
      </c>
      <c r="E3">
        <v>11.786128379999999</v>
      </c>
      <c r="F3">
        <v>18.2</v>
      </c>
    </row>
    <row r="4" spans="1:6" x14ac:dyDescent="0.35">
      <c r="A4">
        <v>2017</v>
      </c>
      <c r="B4">
        <v>1190.721475906</v>
      </c>
      <c r="C4" s="9">
        <v>46.823999999999998</v>
      </c>
      <c r="D4">
        <v>27.42</v>
      </c>
      <c r="E4">
        <v>11.206759330000001</v>
      </c>
      <c r="F4">
        <v>23.9</v>
      </c>
    </row>
    <row r="5" spans="1:6" x14ac:dyDescent="0.35">
      <c r="A5">
        <v>2018</v>
      </c>
      <c r="B5">
        <v>1256.3001827758001</v>
      </c>
      <c r="C5" s="9">
        <v>47.404000000000003</v>
      </c>
      <c r="D5">
        <v>47.92</v>
      </c>
      <c r="E5">
        <v>11.3371818</v>
      </c>
      <c r="F5">
        <v>33.9</v>
      </c>
    </row>
    <row r="6" spans="1:6" x14ac:dyDescent="0.35">
      <c r="A6">
        <v>2019</v>
      </c>
      <c r="B6">
        <v>1304.10620390245</v>
      </c>
      <c r="C6" s="9">
        <v>49.015999999999998</v>
      </c>
      <c r="D6">
        <v>64.66</v>
      </c>
      <c r="E6">
        <v>11.687567659999999</v>
      </c>
      <c r="F6">
        <v>25.5</v>
      </c>
    </row>
    <row r="7" spans="1:6" x14ac:dyDescent="0.35">
      <c r="A7">
        <v>2020</v>
      </c>
      <c r="B7">
        <v>1121.0647674015099</v>
      </c>
      <c r="C7" s="9">
        <v>45.097000000000001</v>
      </c>
      <c r="D7">
        <v>103.52</v>
      </c>
      <c r="E7">
        <v>7.4239360459999997</v>
      </c>
      <c r="F7">
        <v>36.9</v>
      </c>
    </row>
    <row r="8" spans="1:6" x14ac:dyDescent="0.35">
      <c r="A8">
        <v>2021</v>
      </c>
      <c r="B8">
        <v>1316.56946673528</v>
      </c>
      <c r="C8" s="9">
        <v>48.441000000000003</v>
      </c>
      <c r="D8">
        <v>128.35</v>
      </c>
      <c r="E8">
        <v>9.9351388749999998</v>
      </c>
      <c r="F8">
        <v>35</v>
      </c>
    </row>
    <row r="9" spans="1:6" x14ac:dyDescent="0.35">
      <c r="A9">
        <v>2022</v>
      </c>
      <c r="B9">
        <v>1466.4648993036799</v>
      </c>
      <c r="C9" s="9">
        <v>49.966000000000001</v>
      </c>
      <c r="D9">
        <v>233.73</v>
      </c>
      <c r="E9">
        <v>10.36108059</v>
      </c>
      <c r="F9">
        <v>32.6</v>
      </c>
    </row>
    <row r="10" spans="1:6" x14ac:dyDescent="0.35">
      <c r="A10">
        <v>2023</v>
      </c>
      <c r="B10">
        <v>1793.7988593432701</v>
      </c>
      <c r="C10" s="9">
        <v>51.444000000000003</v>
      </c>
      <c r="D10">
        <v>348.36</v>
      </c>
      <c r="E10">
        <v>11.892790290000001</v>
      </c>
      <c r="F10">
        <v>38</v>
      </c>
    </row>
    <row r="11" spans="1:6" x14ac:dyDescent="0.35">
      <c r="A11">
        <v>2024</v>
      </c>
      <c r="B11">
        <v>1852.7228852581102</v>
      </c>
      <c r="C11" s="9">
        <v>51.633000000000003</v>
      </c>
      <c r="D11">
        <v>419.43</v>
      </c>
      <c r="E11">
        <v>12.49419477</v>
      </c>
      <c r="F11">
        <v>36.200000000000003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5442D-00C5-4BAB-A747-F76202067960}">
  <dimension ref="A1:F69"/>
  <sheetViews>
    <sheetView workbookViewId="0">
      <selection activeCell="G11" sqref="G11"/>
    </sheetView>
  </sheetViews>
  <sheetFormatPr baseColWidth="10" defaultRowHeight="14.5" x14ac:dyDescent="0.35"/>
  <sheetData>
    <row r="1" spans="1:6" x14ac:dyDescent="0.35">
      <c r="A1" t="s">
        <v>1</v>
      </c>
      <c r="B1" t="s">
        <v>5</v>
      </c>
    </row>
    <row r="2" spans="1:6" x14ac:dyDescent="0.35">
      <c r="A2" t="s">
        <v>2</v>
      </c>
      <c r="B2" t="s">
        <v>6</v>
      </c>
      <c r="F2" t="s">
        <v>46</v>
      </c>
    </row>
    <row r="3" spans="1:6" x14ac:dyDescent="0.35">
      <c r="A3" t="s">
        <v>3</v>
      </c>
      <c r="B3" t="s">
        <v>42</v>
      </c>
      <c r="C3" t="s">
        <v>44</v>
      </c>
    </row>
    <row r="4" spans="1:6" x14ac:dyDescent="0.35">
      <c r="A4" t="s">
        <v>4</v>
      </c>
      <c r="B4" t="s">
        <v>43</v>
      </c>
    </row>
    <row r="5" spans="1:6" x14ac:dyDescent="0.35">
      <c r="A5">
        <v>1960</v>
      </c>
      <c r="B5">
        <v>13040000000</v>
      </c>
      <c r="C5">
        <f>B5/1000000000</f>
        <v>13.04</v>
      </c>
    </row>
    <row r="6" spans="1:6" x14ac:dyDescent="0.35">
      <c r="A6">
        <v>1961</v>
      </c>
      <c r="B6">
        <v>14160000000</v>
      </c>
      <c r="C6">
        <f t="shared" ref="C6:C69" si="0">B6/1000000000</f>
        <v>14.16</v>
      </c>
    </row>
    <row r="7" spans="1:6" x14ac:dyDescent="0.35">
      <c r="A7">
        <v>1962</v>
      </c>
      <c r="B7">
        <v>15200000000</v>
      </c>
      <c r="C7">
        <f t="shared" si="0"/>
        <v>15.2</v>
      </c>
    </row>
    <row r="8" spans="1:6" x14ac:dyDescent="0.35">
      <c r="A8">
        <v>1963</v>
      </c>
      <c r="B8">
        <v>16960000000</v>
      </c>
      <c r="C8">
        <f t="shared" si="0"/>
        <v>16.96</v>
      </c>
    </row>
    <row r="9" spans="1:6" x14ac:dyDescent="0.35">
      <c r="A9">
        <v>1964</v>
      </c>
      <c r="B9">
        <v>20080000000</v>
      </c>
      <c r="C9">
        <f t="shared" si="0"/>
        <v>20.079999999999998</v>
      </c>
    </row>
    <row r="10" spans="1:6" x14ac:dyDescent="0.35">
      <c r="A10">
        <v>1965</v>
      </c>
      <c r="B10">
        <v>21840000000</v>
      </c>
      <c r="C10">
        <f t="shared" si="0"/>
        <v>21.84</v>
      </c>
    </row>
    <row r="11" spans="1:6" x14ac:dyDescent="0.35">
      <c r="A11">
        <v>1966</v>
      </c>
      <c r="B11">
        <v>24320000000</v>
      </c>
      <c r="C11">
        <f t="shared" si="0"/>
        <v>24.32</v>
      </c>
    </row>
    <row r="12" spans="1:6" x14ac:dyDescent="0.35">
      <c r="A12">
        <v>1967</v>
      </c>
      <c r="B12">
        <v>26560000000</v>
      </c>
      <c r="C12">
        <f t="shared" si="0"/>
        <v>26.56</v>
      </c>
    </row>
    <row r="13" spans="1:6" x14ac:dyDescent="0.35">
      <c r="A13">
        <v>1968</v>
      </c>
      <c r="B13">
        <v>29360000000</v>
      </c>
      <c r="C13">
        <f t="shared" si="0"/>
        <v>29.36</v>
      </c>
    </row>
    <row r="14" spans="1:6" x14ac:dyDescent="0.35">
      <c r="A14">
        <v>1969</v>
      </c>
      <c r="B14">
        <v>32480000000</v>
      </c>
      <c r="C14">
        <f t="shared" si="0"/>
        <v>32.479999999999997</v>
      </c>
    </row>
    <row r="15" spans="1:6" x14ac:dyDescent="0.35">
      <c r="A15">
        <v>1970</v>
      </c>
      <c r="B15">
        <v>35520000000</v>
      </c>
      <c r="C15">
        <f t="shared" si="0"/>
        <v>35.520000000000003</v>
      </c>
    </row>
    <row r="16" spans="1:6" x14ac:dyDescent="0.35">
      <c r="A16">
        <v>1971</v>
      </c>
      <c r="B16">
        <v>39200000000</v>
      </c>
      <c r="C16">
        <f t="shared" si="0"/>
        <v>39.200000000000003</v>
      </c>
    </row>
    <row r="17" spans="1:3" x14ac:dyDescent="0.35">
      <c r="A17">
        <v>1972</v>
      </c>
      <c r="B17">
        <v>45200000000</v>
      </c>
      <c r="C17">
        <f t="shared" si="0"/>
        <v>45.2</v>
      </c>
    </row>
    <row r="18" spans="1:3" x14ac:dyDescent="0.35">
      <c r="A18">
        <v>1973</v>
      </c>
      <c r="B18">
        <v>55280000000</v>
      </c>
      <c r="C18">
        <f t="shared" si="0"/>
        <v>55.28</v>
      </c>
    </row>
    <row r="19" spans="1:3" x14ac:dyDescent="0.35">
      <c r="A19">
        <v>1974</v>
      </c>
      <c r="B19">
        <v>72000000000</v>
      </c>
      <c r="C19">
        <f t="shared" si="0"/>
        <v>72</v>
      </c>
    </row>
    <row r="20" spans="1:3" x14ac:dyDescent="0.35">
      <c r="A20">
        <v>1975</v>
      </c>
      <c r="B20">
        <v>88000000000</v>
      </c>
      <c r="C20">
        <f t="shared" si="0"/>
        <v>88</v>
      </c>
    </row>
    <row r="21" spans="1:3" x14ac:dyDescent="0.35">
      <c r="A21">
        <v>1976</v>
      </c>
      <c r="B21">
        <v>88875923765.072006</v>
      </c>
      <c r="C21">
        <f t="shared" si="0"/>
        <v>88.875923765072002</v>
      </c>
    </row>
    <row r="22" spans="1:3" x14ac:dyDescent="0.35">
      <c r="A22">
        <v>1977</v>
      </c>
      <c r="B22">
        <v>81912018783.502396</v>
      </c>
      <c r="C22">
        <f t="shared" si="0"/>
        <v>81.91201878350239</v>
      </c>
    </row>
    <row r="23" spans="1:3" x14ac:dyDescent="0.35">
      <c r="A23">
        <v>1978</v>
      </c>
      <c r="B23">
        <v>102648570299.117</v>
      </c>
      <c r="C23">
        <f t="shared" si="0"/>
        <v>102.64857029911701</v>
      </c>
    </row>
    <row r="24" spans="1:3" x14ac:dyDescent="0.35">
      <c r="A24">
        <v>1979</v>
      </c>
      <c r="B24">
        <v>134531900898.92599</v>
      </c>
      <c r="C24">
        <f t="shared" si="0"/>
        <v>134.53190089892598</v>
      </c>
    </row>
    <row r="25" spans="1:3" x14ac:dyDescent="0.35">
      <c r="A25">
        <v>1980</v>
      </c>
      <c r="B25">
        <v>205577055465.99301</v>
      </c>
      <c r="C25">
        <f t="shared" si="0"/>
        <v>205.577055465993</v>
      </c>
    </row>
    <row r="26" spans="1:3" x14ac:dyDescent="0.35">
      <c r="A26">
        <v>1981</v>
      </c>
      <c r="B26">
        <v>263797827860.49399</v>
      </c>
      <c r="C26">
        <f t="shared" si="0"/>
        <v>263.79782786049401</v>
      </c>
    </row>
    <row r="27" spans="1:3" x14ac:dyDescent="0.35">
      <c r="A27">
        <v>1982</v>
      </c>
      <c r="B27">
        <v>184602611609.517</v>
      </c>
      <c r="C27">
        <f t="shared" si="0"/>
        <v>184.602611609517</v>
      </c>
    </row>
    <row r="28" spans="1:3" x14ac:dyDescent="0.35">
      <c r="A28">
        <v>1983</v>
      </c>
      <c r="B28">
        <v>156167000432.99399</v>
      </c>
      <c r="C28">
        <f t="shared" si="0"/>
        <v>156.167000432994</v>
      </c>
    </row>
    <row r="29" spans="1:3" x14ac:dyDescent="0.35">
      <c r="A29">
        <v>1984</v>
      </c>
      <c r="B29">
        <v>184230754105.39401</v>
      </c>
      <c r="C29">
        <f t="shared" si="0"/>
        <v>184.230754105394</v>
      </c>
    </row>
    <row r="30" spans="1:3" x14ac:dyDescent="0.35">
      <c r="A30">
        <v>1985</v>
      </c>
      <c r="B30">
        <v>195241069482.077</v>
      </c>
      <c r="C30">
        <f t="shared" si="0"/>
        <v>195.24106948207699</v>
      </c>
    </row>
    <row r="31" spans="1:3" x14ac:dyDescent="0.35">
      <c r="A31">
        <v>1986</v>
      </c>
      <c r="B31">
        <v>134556034672.991</v>
      </c>
      <c r="C31">
        <f t="shared" si="0"/>
        <v>134.55603467299099</v>
      </c>
    </row>
    <row r="32" spans="1:3" x14ac:dyDescent="0.35">
      <c r="A32">
        <v>1987</v>
      </c>
      <c r="B32">
        <v>147542558208.888</v>
      </c>
      <c r="C32">
        <f t="shared" si="0"/>
        <v>147.54255820888801</v>
      </c>
    </row>
    <row r="33" spans="1:3" x14ac:dyDescent="0.35">
      <c r="A33">
        <v>1988</v>
      </c>
      <c r="B33">
        <v>181611150496.78699</v>
      </c>
      <c r="C33">
        <f t="shared" si="0"/>
        <v>181.61115049678699</v>
      </c>
    </row>
    <row r="34" spans="1:3" x14ac:dyDescent="0.35">
      <c r="A34">
        <v>1989</v>
      </c>
      <c r="B34">
        <v>221403098266.76999</v>
      </c>
      <c r="C34">
        <f t="shared" si="0"/>
        <v>221.40309826677</v>
      </c>
    </row>
    <row r="35" spans="1:3" x14ac:dyDescent="0.35">
      <c r="A35">
        <v>1990</v>
      </c>
      <c r="B35">
        <v>261253675692.83801</v>
      </c>
      <c r="C35">
        <f t="shared" si="0"/>
        <v>261.25367569283799</v>
      </c>
    </row>
    <row r="36" spans="1:3" x14ac:dyDescent="0.35">
      <c r="A36">
        <v>1991</v>
      </c>
      <c r="B36">
        <v>313139656145.745</v>
      </c>
      <c r="C36">
        <f t="shared" si="0"/>
        <v>313.13965614574499</v>
      </c>
    </row>
    <row r="37" spans="1:3" x14ac:dyDescent="0.35">
      <c r="A37">
        <v>1992</v>
      </c>
      <c r="B37">
        <v>363157832923.73401</v>
      </c>
      <c r="C37">
        <f t="shared" si="0"/>
        <v>363.15783292373402</v>
      </c>
    </row>
    <row r="38" spans="1:3" x14ac:dyDescent="0.35">
      <c r="A38">
        <v>1993</v>
      </c>
      <c r="B38">
        <v>530160763662.54303</v>
      </c>
      <c r="C38">
        <f t="shared" si="0"/>
        <v>530.16076366254299</v>
      </c>
    </row>
    <row r="39" spans="1:3" x14ac:dyDescent="0.35">
      <c r="A39">
        <v>1994</v>
      </c>
      <c r="B39">
        <v>553618247900.73999</v>
      </c>
      <c r="C39">
        <f t="shared" si="0"/>
        <v>553.61824790074002</v>
      </c>
    </row>
    <row r="40" spans="1:3" x14ac:dyDescent="0.35">
      <c r="A40">
        <v>1995</v>
      </c>
      <c r="B40">
        <v>380157469866.849</v>
      </c>
      <c r="C40">
        <f t="shared" si="0"/>
        <v>380.157469866849</v>
      </c>
    </row>
    <row r="41" spans="1:3" x14ac:dyDescent="0.35">
      <c r="A41">
        <v>1996</v>
      </c>
      <c r="B41">
        <v>432157945024.42798</v>
      </c>
      <c r="C41">
        <f t="shared" si="0"/>
        <v>432.15794502442799</v>
      </c>
    </row>
    <row r="42" spans="1:3" x14ac:dyDescent="0.35">
      <c r="A42">
        <v>1997</v>
      </c>
      <c r="B42">
        <v>523449530464.25702</v>
      </c>
      <c r="C42">
        <f t="shared" si="0"/>
        <v>523.44953046425701</v>
      </c>
    </row>
    <row r="43" spans="1:3" x14ac:dyDescent="0.35">
      <c r="A43">
        <v>1998</v>
      </c>
      <c r="B43">
        <v>557461102630.65796</v>
      </c>
      <c r="C43">
        <f t="shared" si="0"/>
        <v>557.46110263065793</v>
      </c>
    </row>
    <row r="44" spans="1:3" x14ac:dyDescent="0.35">
      <c r="A44">
        <v>1999</v>
      </c>
      <c r="B44">
        <v>631249359702.38904</v>
      </c>
      <c r="C44">
        <f t="shared" si="0"/>
        <v>631.24935970238903</v>
      </c>
    </row>
    <row r="45" spans="1:3" x14ac:dyDescent="0.35">
      <c r="A45">
        <v>2000</v>
      </c>
      <c r="B45">
        <v>742061329749.12695</v>
      </c>
      <c r="C45">
        <f t="shared" si="0"/>
        <v>742.06132974912691</v>
      </c>
    </row>
    <row r="46" spans="1:3" x14ac:dyDescent="0.35">
      <c r="A46">
        <v>2001</v>
      </c>
      <c r="B46">
        <v>796064590549.13599</v>
      </c>
      <c r="C46">
        <f t="shared" si="0"/>
        <v>796.06459054913603</v>
      </c>
    </row>
    <row r="47" spans="1:3" x14ac:dyDescent="0.35">
      <c r="A47">
        <v>2002</v>
      </c>
      <c r="B47">
        <v>810666116401.91504</v>
      </c>
      <c r="C47">
        <f t="shared" si="0"/>
        <v>810.66611640191502</v>
      </c>
    </row>
    <row r="48" spans="1:3" x14ac:dyDescent="0.35">
      <c r="A48">
        <v>2003</v>
      </c>
      <c r="B48">
        <v>765549967888.64697</v>
      </c>
      <c r="C48">
        <f t="shared" si="0"/>
        <v>765.54996788864696</v>
      </c>
    </row>
    <row r="49" spans="1:3" x14ac:dyDescent="0.35">
      <c r="A49">
        <v>2004</v>
      </c>
      <c r="B49">
        <v>819459227375.02197</v>
      </c>
      <c r="C49">
        <f t="shared" si="0"/>
        <v>819.45922737502201</v>
      </c>
    </row>
    <row r="50" spans="1:3" x14ac:dyDescent="0.35">
      <c r="A50">
        <v>2005</v>
      </c>
      <c r="B50">
        <v>917571853529.104</v>
      </c>
      <c r="C50">
        <f t="shared" si="0"/>
        <v>917.57185352910403</v>
      </c>
    </row>
    <row r="51" spans="1:3" x14ac:dyDescent="0.35">
      <c r="A51">
        <v>2006</v>
      </c>
      <c r="B51">
        <v>1020265057882.01</v>
      </c>
      <c r="C51">
        <f t="shared" si="0"/>
        <v>1020.26505788201</v>
      </c>
    </row>
    <row r="52" spans="1:3" x14ac:dyDescent="0.35">
      <c r="A52">
        <v>2007</v>
      </c>
      <c r="B52">
        <v>1102355554880.4399</v>
      </c>
      <c r="C52">
        <f t="shared" si="0"/>
        <v>1102.35555488044</v>
      </c>
    </row>
    <row r="53" spans="1:3" x14ac:dyDescent="0.35">
      <c r="A53">
        <v>2008</v>
      </c>
      <c r="B53">
        <v>1161553459984.6499</v>
      </c>
      <c r="C53">
        <f t="shared" si="0"/>
        <v>1161.5534599846499</v>
      </c>
    </row>
    <row r="54" spans="1:3" x14ac:dyDescent="0.35">
      <c r="A54">
        <v>2009</v>
      </c>
      <c r="B54">
        <v>943437415024.63306</v>
      </c>
      <c r="C54">
        <f t="shared" si="0"/>
        <v>943.43741502463308</v>
      </c>
    </row>
    <row r="55" spans="1:3" x14ac:dyDescent="0.35">
      <c r="A55">
        <v>2010</v>
      </c>
      <c r="B55">
        <v>1105424238572.8101</v>
      </c>
      <c r="C55">
        <f t="shared" si="0"/>
        <v>1105.4242385728101</v>
      </c>
    </row>
    <row r="56" spans="1:3" x14ac:dyDescent="0.35">
      <c r="A56">
        <v>2011</v>
      </c>
      <c r="B56">
        <v>1229013703577.75</v>
      </c>
      <c r="C56">
        <f t="shared" si="0"/>
        <v>1229.01370357775</v>
      </c>
    </row>
    <row r="57" spans="1:3" x14ac:dyDescent="0.35">
      <c r="A57">
        <v>2012</v>
      </c>
      <c r="B57">
        <v>1255110424665.9199</v>
      </c>
      <c r="C57">
        <f t="shared" si="0"/>
        <v>1255.1104246659199</v>
      </c>
    </row>
    <row r="58" spans="1:3" x14ac:dyDescent="0.35">
      <c r="A58">
        <v>2013</v>
      </c>
      <c r="B58">
        <v>1327436290439.27</v>
      </c>
      <c r="C58">
        <f t="shared" si="0"/>
        <v>1327.4362904392701</v>
      </c>
    </row>
    <row r="59" spans="1:3" x14ac:dyDescent="0.35">
      <c r="A59">
        <v>2014</v>
      </c>
      <c r="B59">
        <v>1364507717764.6001</v>
      </c>
      <c r="C59">
        <f t="shared" si="0"/>
        <v>1364.5077177646001</v>
      </c>
    </row>
    <row r="60" spans="1:3" x14ac:dyDescent="0.35">
      <c r="A60">
        <v>2015</v>
      </c>
      <c r="B60">
        <v>1213294467779.98</v>
      </c>
      <c r="C60">
        <f t="shared" si="0"/>
        <v>1213.2944677799799</v>
      </c>
    </row>
    <row r="61" spans="1:3" x14ac:dyDescent="0.35">
      <c r="A61">
        <v>2016</v>
      </c>
      <c r="B61">
        <v>1112233497452.7</v>
      </c>
      <c r="C61">
        <f t="shared" si="0"/>
        <v>1112.2334974527</v>
      </c>
    </row>
    <row r="62" spans="1:3" x14ac:dyDescent="0.35">
      <c r="A62">
        <v>2017</v>
      </c>
      <c r="B62">
        <v>1190721475906</v>
      </c>
      <c r="C62">
        <f t="shared" si="0"/>
        <v>1190.721475906</v>
      </c>
    </row>
    <row r="63" spans="1:3" x14ac:dyDescent="0.35">
      <c r="A63">
        <v>2018</v>
      </c>
      <c r="B63">
        <v>1256300182775.8</v>
      </c>
      <c r="C63">
        <f t="shared" si="0"/>
        <v>1256.3001827758001</v>
      </c>
    </row>
    <row r="64" spans="1:3" x14ac:dyDescent="0.35">
      <c r="A64">
        <v>2019</v>
      </c>
      <c r="B64">
        <v>1304106203902.45</v>
      </c>
      <c r="C64">
        <f t="shared" si="0"/>
        <v>1304.10620390245</v>
      </c>
    </row>
    <row r="65" spans="1:3" x14ac:dyDescent="0.35">
      <c r="A65">
        <v>2020</v>
      </c>
      <c r="B65">
        <v>1121064767401.51</v>
      </c>
      <c r="C65">
        <f t="shared" si="0"/>
        <v>1121.0647674015099</v>
      </c>
    </row>
    <row r="66" spans="1:3" x14ac:dyDescent="0.35">
      <c r="A66">
        <v>2021</v>
      </c>
      <c r="B66">
        <v>1316569466735.28</v>
      </c>
      <c r="C66">
        <f t="shared" si="0"/>
        <v>1316.56946673528</v>
      </c>
    </row>
    <row r="67" spans="1:3" x14ac:dyDescent="0.35">
      <c r="A67">
        <v>2022</v>
      </c>
      <c r="B67">
        <v>1466464899303.6799</v>
      </c>
      <c r="C67">
        <f t="shared" si="0"/>
        <v>1466.4648993036799</v>
      </c>
    </row>
    <row r="68" spans="1:3" x14ac:dyDescent="0.35">
      <c r="A68">
        <v>2023</v>
      </c>
      <c r="B68">
        <v>1793798859343.27</v>
      </c>
      <c r="C68">
        <f t="shared" si="0"/>
        <v>1793.7988593432701</v>
      </c>
    </row>
    <row r="69" spans="1:3" x14ac:dyDescent="0.35">
      <c r="A69">
        <v>2024</v>
      </c>
      <c r="B69">
        <v>1852722885258.1101</v>
      </c>
      <c r="C69">
        <f t="shared" si="0"/>
        <v>1852.7228852581102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0AD82-18F4-461F-97C4-231CE076CED2}">
  <dimension ref="A2:E70"/>
  <sheetViews>
    <sheetView topLeftCell="A40" workbookViewId="0">
      <selection activeCell="D66" sqref="D66"/>
    </sheetView>
  </sheetViews>
  <sheetFormatPr baseColWidth="10" defaultRowHeight="14.5" x14ac:dyDescent="0.35"/>
  <sheetData>
    <row r="2" spans="1:5" x14ac:dyDescent="0.35">
      <c r="A2" t="s">
        <v>1</v>
      </c>
      <c r="B2" t="s">
        <v>5</v>
      </c>
      <c r="E2" t="s">
        <v>9</v>
      </c>
    </row>
    <row r="3" spans="1:5" x14ac:dyDescent="0.35">
      <c r="A3" t="s">
        <v>2</v>
      </c>
      <c r="B3" t="s">
        <v>6</v>
      </c>
    </row>
    <row r="4" spans="1:5" x14ac:dyDescent="0.35">
      <c r="A4" t="s">
        <v>3</v>
      </c>
      <c r="B4" t="s">
        <v>7</v>
      </c>
    </row>
    <row r="5" spans="1:5" x14ac:dyDescent="0.35">
      <c r="A5" t="s">
        <v>4</v>
      </c>
      <c r="B5" t="s">
        <v>8</v>
      </c>
    </row>
    <row r="6" spans="1:5" x14ac:dyDescent="0.35">
      <c r="A6">
        <v>1960</v>
      </c>
    </row>
    <row r="7" spans="1:5" x14ac:dyDescent="0.35">
      <c r="A7">
        <v>1961</v>
      </c>
    </row>
    <row r="8" spans="1:5" x14ac:dyDescent="0.35">
      <c r="A8">
        <v>1962</v>
      </c>
    </row>
    <row r="9" spans="1:5" x14ac:dyDescent="0.35">
      <c r="A9">
        <v>1963</v>
      </c>
    </row>
    <row r="10" spans="1:5" x14ac:dyDescent="0.35">
      <c r="A10">
        <v>1964</v>
      </c>
    </row>
    <row r="11" spans="1:5" x14ac:dyDescent="0.35">
      <c r="A11">
        <v>1965</v>
      </c>
    </row>
    <row r="12" spans="1:5" x14ac:dyDescent="0.35">
      <c r="A12">
        <v>1966</v>
      </c>
    </row>
    <row r="13" spans="1:5" x14ac:dyDescent="0.35">
      <c r="A13">
        <v>1967</v>
      </c>
    </row>
    <row r="14" spans="1:5" x14ac:dyDescent="0.35">
      <c r="A14">
        <v>1968</v>
      </c>
    </row>
    <row r="15" spans="1:5" x14ac:dyDescent="0.35">
      <c r="A15">
        <v>1969</v>
      </c>
    </row>
    <row r="16" spans="1:5" x14ac:dyDescent="0.35">
      <c r="A16">
        <v>1970</v>
      </c>
    </row>
    <row r="17" spans="1:1" x14ac:dyDescent="0.35">
      <c r="A17">
        <v>1971</v>
      </c>
    </row>
    <row r="18" spans="1:1" x14ac:dyDescent="0.35">
      <c r="A18">
        <v>1972</v>
      </c>
    </row>
    <row r="19" spans="1:1" x14ac:dyDescent="0.35">
      <c r="A19">
        <v>1973</v>
      </c>
    </row>
    <row r="20" spans="1:1" x14ac:dyDescent="0.35">
      <c r="A20">
        <v>1974</v>
      </c>
    </row>
    <row r="21" spans="1:1" x14ac:dyDescent="0.35">
      <c r="A21">
        <v>1975</v>
      </c>
    </row>
    <row r="22" spans="1:1" x14ac:dyDescent="0.35">
      <c r="A22">
        <v>1976</v>
      </c>
    </row>
    <row r="23" spans="1:1" x14ac:dyDescent="0.35">
      <c r="A23">
        <v>1977</v>
      </c>
    </row>
    <row r="24" spans="1:1" x14ac:dyDescent="0.35">
      <c r="A24">
        <v>1978</v>
      </c>
    </row>
    <row r="25" spans="1:1" x14ac:dyDescent="0.35">
      <c r="A25">
        <v>1979</v>
      </c>
    </row>
    <row r="26" spans="1:1" x14ac:dyDescent="0.35">
      <c r="A26">
        <v>1980</v>
      </c>
    </row>
    <row r="27" spans="1:1" x14ac:dyDescent="0.35">
      <c r="A27">
        <v>1981</v>
      </c>
    </row>
    <row r="28" spans="1:1" x14ac:dyDescent="0.35">
      <c r="A28">
        <v>1982</v>
      </c>
    </row>
    <row r="29" spans="1:1" x14ac:dyDescent="0.35">
      <c r="A29">
        <v>1983</v>
      </c>
    </row>
    <row r="30" spans="1:1" x14ac:dyDescent="0.35">
      <c r="A30">
        <v>1984</v>
      </c>
    </row>
    <row r="31" spans="1:1" x14ac:dyDescent="0.35">
      <c r="A31">
        <v>1985</v>
      </c>
    </row>
    <row r="32" spans="1:1" x14ac:dyDescent="0.35">
      <c r="A32">
        <v>1986</v>
      </c>
    </row>
    <row r="33" spans="1:2" x14ac:dyDescent="0.35">
      <c r="A33">
        <v>1987</v>
      </c>
    </row>
    <row r="34" spans="1:2" x14ac:dyDescent="0.35">
      <c r="A34">
        <v>1988</v>
      </c>
    </row>
    <row r="35" spans="1:2" x14ac:dyDescent="0.35">
      <c r="A35">
        <v>1989</v>
      </c>
    </row>
    <row r="36" spans="1:2" x14ac:dyDescent="0.35">
      <c r="A36">
        <v>1990</v>
      </c>
      <c r="B36">
        <v>35.518000000000001</v>
      </c>
    </row>
    <row r="37" spans="1:2" x14ac:dyDescent="0.35">
      <c r="A37">
        <v>1991</v>
      </c>
      <c r="B37">
        <v>35.798000000000002</v>
      </c>
    </row>
    <row r="38" spans="1:2" x14ac:dyDescent="0.35">
      <c r="A38">
        <v>1992</v>
      </c>
      <c r="B38">
        <v>36.634999999999998</v>
      </c>
    </row>
    <row r="39" spans="1:2" x14ac:dyDescent="0.35">
      <c r="A39">
        <v>1993</v>
      </c>
      <c r="B39">
        <v>37.561</v>
      </c>
    </row>
    <row r="40" spans="1:2" x14ac:dyDescent="0.35">
      <c r="A40">
        <v>1994</v>
      </c>
      <c r="B40">
        <v>38.143999999999998</v>
      </c>
    </row>
    <row r="41" spans="1:2" x14ac:dyDescent="0.35">
      <c r="A41">
        <v>1995</v>
      </c>
      <c r="B41">
        <v>39.524999999999999</v>
      </c>
    </row>
    <row r="42" spans="1:2" x14ac:dyDescent="0.35">
      <c r="A42">
        <v>1996</v>
      </c>
      <c r="B42">
        <v>39.618000000000002</v>
      </c>
    </row>
    <row r="43" spans="1:2" x14ac:dyDescent="0.35">
      <c r="A43">
        <v>1997</v>
      </c>
      <c r="B43">
        <v>41.750999999999998</v>
      </c>
    </row>
    <row r="44" spans="1:2" x14ac:dyDescent="0.35">
      <c r="A44">
        <v>1998</v>
      </c>
      <c r="B44">
        <v>41.424999999999997</v>
      </c>
    </row>
    <row r="45" spans="1:2" x14ac:dyDescent="0.35">
      <c r="A45">
        <v>1999</v>
      </c>
      <c r="B45">
        <v>40.601999999999997</v>
      </c>
    </row>
    <row r="46" spans="1:2" x14ac:dyDescent="0.35">
      <c r="A46">
        <v>2000</v>
      </c>
      <c r="B46">
        <v>40.996000000000002</v>
      </c>
    </row>
    <row r="47" spans="1:2" x14ac:dyDescent="0.35">
      <c r="A47">
        <v>2001</v>
      </c>
      <c r="B47">
        <v>40.345999999999997</v>
      </c>
    </row>
    <row r="48" spans="1:2" x14ac:dyDescent="0.35">
      <c r="A48">
        <v>2002</v>
      </c>
      <c r="B48">
        <v>40.482999999999997</v>
      </c>
    </row>
    <row r="49" spans="1:2" x14ac:dyDescent="0.35">
      <c r="A49">
        <v>2003</v>
      </c>
      <c r="B49">
        <v>41.228999999999999</v>
      </c>
    </row>
    <row r="50" spans="1:2" x14ac:dyDescent="0.35">
      <c r="A50">
        <v>2004</v>
      </c>
      <c r="B50">
        <v>42.503</v>
      </c>
    </row>
    <row r="51" spans="1:2" x14ac:dyDescent="0.35">
      <c r="A51">
        <v>2005</v>
      </c>
      <c r="B51">
        <v>43.634</v>
      </c>
    </row>
    <row r="52" spans="1:2" x14ac:dyDescent="0.35">
      <c r="A52">
        <v>2006</v>
      </c>
      <c r="B52">
        <v>44.94</v>
      </c>
    </row>
    <row r="53" spans="1:2" x14ac:dyDescent="0.35">
      <c r="A53">
        <v>2007</v>
      </c>
      <c r="B53">
        <v>45.46</v>
      </c>
    </row>
    <row r="54" spans="1:2" x14ac:dyDescent="0.35">
      <c r="A54">
        <v>2008</v>
      </c>
      <c r="B54">
        <v>45.267000000000003</v>
      </c>
    </row>
    <row r="55" spans="1:2" x14ac:dyDescent="0.35">
      <c r="A55">
        <v>2009</v>
      </c>
      <c r="B55">
        <v>45.837000000000003</v>
      </c>
    </row>
    <row r="56" spans="1:2" x14ac:dyDescent="0.35">
      <c r="A56">
        <v>2010</v>
      </c>
      <c r="B56">
        <v>45.731999999999999</v>
      </c>
    </row>
    <row r="57" spans="1:2" x14ac:dyDescent="0.35">
      <c r="A57">
        <v>2011</v>
      </c>
      <c r="B57">
        <v>46.313000000000002</v>
      </c>
    </row>
    <row r="58" spans="1:2" x14ac:dyDescent="0.35">
      <c r="A58">
        <v>2012</v>
      </c>
      <c r="B58">
        <v>47.454000000000001</v>
      </c>
    </row>
    <row r="59" spans="1:2" x14ac:dyDescent="0.35">
      <c r="A59">
        <v>2013</v>
      </c>
      <c r="B59">
        <v>47.523000000000003</v>
      </c>
    </row>
    <row r="60" spans="1:2" x14ac:dyDescent="0.35">
      <c r="A60">
        <v>2014</v>
      </c>
      <c r="B60">
        <v>46.606000000000002</v>
      </c>
    </row>
    <row r="61" spans="1:2" x14ac:dyDescent="0.35">
      <c r="A61">
        <v>2015</v>
      </c>
      <c r="B61">
        <v>46.978000000000002</v>
      </c>
    </row>
    <row r="62" spans="1:2" x14ac:dyDescent="0.35">
      <c r="A62">
        <v>2016</v>
      </c>
      <c r="B62">
        <v>47.113999999999997</v>
      </c>
    </row>
    <row r="63" spans="1:2" x14ac:dyDescent="0.35">
      <c r="A63">
        <v>2017</v>
      </c>
      <c r="B63">
        <v>46.823999999999998</v>
      </c>
    </row>
    <row r="64" spans="1:2" x14ac:dyDescent="0.35">
      <c r="A64">
        <v>2018</v>
      </c>
      <c r="B64">
        <v>47.404000000000003</v>
      </c>
    </row>
    <row r="65" spans="1:2" x14ac:dyDescent="0.35">
      <c r="A65">
        <v>2019</v>
      </c>
      <c r="B65">
        <v>49.015999999999998</v>
      </c>
    </row>
    <row r="66" spans="1:2" x14ac:dyDescent="0.35">
      <c r="A66">
        <v>2020</v>
      </c>
      <c r="B66">
        <v>45.097000000000001</v>
      </c>
    </row>
    <row r="67" spans="1:2" x14ac:dyDescent="0.35">
      <c r="A67">
        <v>2021</v>
      </c>
      <c r="B67">
        <v>48.441000000000003</v>
      </c>
    </row>
    <row r="68" spans="1:2" x14ac:dyDescent="0.35">
      <c r="A68">
        <v>2022</v>
      </c>
      <c r="B68">
        <v>49.966000000000001</v>
      </c>
    </row>
    <row r="69" spans="1:2" x14ac:dyDescent="0.35">
      <c r="A69">
        <v>2023</v>
      </c>
      <c r="B69">
        <v>51.444000000000003</v>
      </c>
    </row>
    <row r="70" spans="1:2" x14ac:dyDescent="0.35">
      <c r="A70">
        <v>2024</v>
      </c>
      <c r="B70">
        <v>51.633000000000003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22AC7-7AD7-4C52-859F-3F540836CC09}">
  <dimension ref="A1:G14"/>
  <sheetViews>
    <sheetView workbookViewId="0">
      <selection sqref="A1:C1"/>
    </sheetView>
  </sheetViews>
  <sheetFormatPr baseColWidth="10" defaultRowHeight="14.5" x14ac:dyDescent="0.35"/>
  <cols>
    <col min="2" max="2" width="20" customWidth="1"/>
    <col min="3" max="3" width="17.81640625" customWidth="1"/>
    <col min="7" max="7" width="27.54296875" customWidth="1"/>
    <col min="8" max="8" width="12" bestFit="1" customWidth="1"/>
  </cols>
  <sheetData>
    <row r="1" spans="1:7" ht="28.5" customHeight="1" x14ac:dyDescent="0.35">
      <c r="A1" s="10" t="s">
        <v>10</v>
      </c>
      <c r="B1" s="10"/>
      <c r="C1" s="10"/>
    </row>
    <row r="2" spans="1:7" ht="58" x14ac:dyDescent="0.35">
      <c r="A2" s="1" t="s">
        <v>11</v>
      </c>
      <c r="B2" s="2" t="s">
        <v>12</v>
      </c>
      <c r="C2" s="3"/>
      <c r="D2" t="s">
        <v>35</v>
      </c>
      <c r="E2" s="8" t="s">
        <v>36</v>
      </c>
      <c r="F2" t="s">
        <v>37</v>
      </c>
    </row>
    <row r="3" spans="1:7" x14ac:dyDescent="0.35">
      <c r="A3" s="1" t="s">
        <v>13</v>
      </c>
      <c r="B3" s="4" t="s">
        <v>14</v>
      </c>
      <c r="C3" s="3"/>
      <c r="D3">
        <v>2015</v>
      </c>
      <c r="E3">
        <v>24.31</v>
      </c>
      <c r="F3" s="1" t="s">
        <v>38</v>
      </c>
      <c r="G3" s="2"/>
    </row>
    <row r="4" spans="1:7" x14ac:dyDescent="0.35">
      <c r="A4" s="1" t="s">
        <v>15</v>
      </c>
      <c r="B4" s="4" t="s">
        <v>16</v>
      </c>
      <c r="C4" s="3"/>
      <c r="D4">
        <v>2016</v>
      </c>
      <c r="E4">
        <v>25.9</v>
      </c>
      <c r="F4" s="7">
        <v>7.0000000000000007E-2</v>
      </c>
      <c r="G4" s="5"/>
    </row>
    <row r="5" spans="1:7" x14ac:dyDescent="0.35">
      <c r="A5" s="1" t="s">
        <v>17</v>
      </c>
      <c r="B5" s="4" t="s">
        <v>18</v>
      </c>
      <c r="C5" s="3"/>
      <c r="D5">
        <v>2017</v>
      </c>
      <c r="E5">
        <v>27.42</v>
      </c>
      <c r="F5" s="7">
        <v>0.06</v>
      </c>
      <c r="G5" s="6"/>
    </row>
    <row r="6" spans="1:7" x14ac:dyDescent="0.35">
      <c r="A6" s="1" t="s">
        <v>19</v>
      </c>
      <c r="B6" s="4" t="s">
        <v>20</v>
      </c>
      <c r="C6" s="3"/>
      <c r="D6">
        <v>2018</v>
      </c>
      <c r="E6">
        <v>47.92</v>
      </c>
      <c r="F6" s="7">
        <v>0.75</v>
      </c>
      <c r="G6" s="6"/>
    </row>
    <row r="7" spans="1:7" x14ac:dyDescent="0.35">
      <c r="A7" s="1" t="s">
        <v>21</v>
      </c>
      <c r="B7" s="4" t="s">
        <v>22</v>
      </c>
      <c r="C7" s="3"/>
      <c r="D7">
        <v>2019</v>
      </c>
      <c r="E7">
        <v>64.66</v>
      </c>
      <c r="F7" s="7">
        <v>0.35</v>
      </c>
      <c r="G7" s="6"/>
    </row>
    <row r="8" spans="1:7" x14ac:dyDescent="0.35">
      <c r="A8" s="1" t="s">
        <v>23</v>
      </c>
      <c r="B8" s="4" t="s">
        <v>24</v>
      </c>
      <c r="C8" s="3"/>
      <c r="D8">
        <v>2020</v>
      </c>
      <c r="E8">
        <v>103.52</v>
      </c>
      <c r="F8" s="7">
        <v>0.6</v>
      </c>
      <c r="G8" s="6"/>
    </row>
    <row r="9" spans="1:7" x14ac:dyDescent="0.35">
      <c r="A9" s="1" t="s">
        <v>25</v>
      </c>
      <c r="B9" s="4" t="s">
        <v>26</v>
      </c>
      <c r="C9" s="3"/>
      <c r="D9">
        <v>2021</v>
      </c>
      <c r="E9">
        <v>128.35</v>
      </c>
      <c r="F9" s="7">
        <v>0.24</v>
      </c>
      <c r="G9" s="6"/>
    </row>
    <row r="10" spans="1:7" x14ac:dyDescent="0.35">
      <c r="A10" s="1" t="s">
        <v>27</v>
      </c>
      <c r="B10" s="4" t="s">
        <v>28</v>
      </c>
      <c r="C10" s="3"/>
      <c r="D10">
        <v>2022</v>
      </c>
      <c r="E10">
        <v>233.73</v>
      </c>
      <c r="F10" s="7">
        <v>0.82</v>
      </c>
      <c r="G10" s="6"/>
    </row>
    <row r="11" spans="1:7" x14ac:dyDescent="0.35">
      <c r="A11" s="1" t="s">
        <v>29</v>
      </c>
      <c r="B11" s="4" t="s">
        <v>30</v>
      </c>
      <c r="C11" s="3"/>
      <c r="D11">
        <v>2023</v>
      </c>
      <c r="E11">
        <v>348.36</v>
      </c>
      <c r="F11" s="7">
        <v>0.49</v>
      </c>
      <c r="G11" s="6"/>
    </row>
    <row r="12" spans="1:7" x14ac:dyDescent="0.35">
      <c r="A12" s="1" t="s">
        <v>31</v>
      </c>
      <c r="B12" s="4" t="s">
        <v>32</v>
      </c>
      <c r="C12" s="3"/>
      <c r="D12">
        <v>2024</v>
      </c>
      <c r="E12">
        <v>419.43</v>
      </c>
      <c r="F12" s="7">
        <v>0.2</v>
      </c>
      <c r="G12" s="6"/>
    </row>
    <row r="13" spans="1:7" x14ac:dyDescent="0.35">
      <c r="A13" s="1" t="s">
        <v>33</v>
      </c>
      <c r="B13" s="4" t="s">
        <v>34</v>
      </c>
      <c r="C13" s="3"/>
      <c r="D13">
        <v>2025</v>
      </c>
      <c r="E13">
        <v>479.25</v>
      </c>
      <c r="F13" s="7">
        <v>0.14000000000000001</v>
      </c>
      <c r="G13" s="6"/>
    </row>
    <row r="14" spans="1:7" x14ac:dyDescent="0.35">
      <c r="F14" s="1"/>
      <c r="G14" s="6"/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7F3D6-DC84-4A0A-AC54-83623E7E0342}">
  <dimension ref="B1:E21"/>
  <sheetViews>
    <sheetView workbookViewId="0">
      <selection activeCell="C1" sqref="C1"/>
    </sheetView>
  </sheetViews>
  <sheetFormatPr baseColWidth="10" defaultRowHeight="14.5" x14ac:dyDescent="0.35"/>
  <sheetData>
    <row r="1" spans="2:5" x14ac:dyDescent="0.35">
      <c r="B1" t="s">
        <v>35</v>
      </c>
      <c r="C1" t="s">
        <v>40</v>
      </c>
    </row>
    <row r="2" spans="2:5" x14ac:dyDescent="0.35">
      <c r="B2">
        <v>2005</v>
      </c>
      <c r="C2">
        <v>17.196679110000002</v>
      </c>
      <c r="E2" t="s">
        <v>41</v>
      </c>
    </row>
    <row r="3" spans="2:5" x14ac:dyDescent="0.35">
      <c r="B3">
        <v>2006</v>
      </c>
      <c r="C3">
        <v>12.621963360000001</v>
      </c>
    </row>
    <row r="4" spans="2:5" x14ac:dyDescent="0.35">
      <c r="B4">
        <v>2007</v>
      </c>
      <c r="C4">
        <v>11.66608383</v>
      </c>
    </row>
    <row r="5" spans="2:5" x14ac:dyDescent="0.35">
      <c r="B5">
        <v>2008</v>
      </c>
      <c r="C5">
        <v>15.99391835</v>
      </c>
    </row>
    <row r="6" spans="2:5" x14ac:dyDescent="0.35">
      <c r="B6">
        <v>2009</v>
      </c>
      <c r="C6">
        <v>7.4542174189999999</v>
      </c>
    </row>
    <row r="7" spans="2:5" x14ac:dyDescent="0.35">
      <c r="B7">
        <v>2010</v>
      </c>
      <c r="C7">
        <v>12.64193058</v>
      </c>
    </row>
    <row r="8" spans="2:5" x14ac:dyDescent="0.35">
      <c r="B8">
        <v>2011</v>
      </c>
      <c r="C8">
        <v>11.870891139999999</v>
      </c>
    </row>
    <row r="9" spans="2:5" x14ac:dyDescent="0.35">
      <c r="B9">
        <v>2012</v>
      </c>
      <c r="C9">
        <v>11.332227250000001</v>
      </c>
    </row>
    <row r="10" spans="2:5" x14ac:dyDescent="0.35">
      <c r="B10">
        <v>2013</v>
      </c>
      <c r="C10">
        <v>12.01276857</v>
      </c>
    </row>
    <row r="11" spans="2:5" x14ac:dyDescent="0.35">
      <c r="B11">
        <v>2014</v>
      </c>
      <c r="C11">
        <v>11.650733539999999</v>
      </c>
    </row>
    <row r="12" spans="2:5" x14ac:dyDescent="0.35">
      <c r="B12">
        <v>2015</v>
      </c>
      <c r="C12">
        <v>11.95265257</v>
      </c>
    </row>
    <row r="13" spans="2:5" x14ac:dyDescent="0.35">
      <c r="B13">
        <v>2016</v>
      </c>
      <c r="C13">
        <v>11.786128379999999</v>
      </c>
    </row>
    <row r="14" spans="2:5" x14ac:dyDescent="0.35">
      <c r="B14">
        <v>2017</v>
      </c>
      <c r="C14">
        <v>11.206759330000001</v>
      </c>
    </row>
    <row r="15" spans="2:5" x14ac:dyDescent="0.35">
      <c r="B15">
        <v>2018</v>
      </c>
      <c r="C15">
        <v>11.3371818</v>
      </c>
    </row>
    <row r="16" spans="2:5" x14ac:dyDescent="0.35">
      <c r="B16">
        <v>2019</v>
      </c>
      <c r="C16">
        <v>11.687567659999999</v>
      </c>
    </row>
    <row r="17" spans="2:3" x14ac:dyDescent="0.35">
      <c r="B17">
        <v>2020</v>
      </c>
      <c r="C17">
        <v>7.4239360459999997</v>
      </c>
    </row>
    <row r="18" spans="2:3" x14ac:dyDescent="0.35">
      <c r="B18">
        <v>2021</v>
      </c>
      <c r="C18">
        <v>9.9351388749999998</v>
      </c>
    </row>
    <row r="19" spans="2:3" x14ac:dyDescent="0.35">
      <c r="B19">
        <v>2022</v>
      </c>
      <c r="C19">
        <v>10.36108059</v>
      </c>
    </row>
    <row r="20" spans="2:3" x14ac:dyDescent="0.35">
      <c r="B20">
        <v>2023</v>
      </c>
      <c r="C20">
        <v>11.892790290000001</v>
      </c>
    </row>
    <row r="21" spans="2:3" x14ac:dyDescent="0.35">
      <c r="B21">
        <v>2024</v>
      </c>
      <c r="C21">
        <v>12.49419477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A6884-59AE-4703-A941-FC9BAC85726C}">
  <dimension ref="A1:E19"/>
  <sheetViews>
    <sheetView tabSelected="1" workbookViewId="0">
      <selection activeCell="I10" sqref="I10"/>
    </sheetView>
  </sheetViews>
  <sheetFormatPr baseColWidth="10" defaultRowHeight="14.5" x14ac:dyDescent="0.35"/>
  <sheetData>
    <row r="1" spans="1:5" x14ac:dyDescent="0.35">
      <c r="A1" t="s">
        <v>35</v>
      </c>
      <c r="B1" t="s">
        <v>48</v>
      </c>
    </row>
    <row r="2" spans="1:5" x14ac:dyDescent="0.35">
      <c r="A2">
        <v>2004</v>
      </c>
      <c r="B2">
        <v>26.6</v>
      </c>
    </row>
    <row r="3" spans="1:5" x14ac:dyDescent="0.35">
      <c r="A3">
        <v>2007</v>
      </c>
      <c r="B3">
        <v>20.399999999999999</v>
      </c>
    </row>
    <row r="4" spans="1:5" x14ac:dyDescent="0.35">
      <c r="A4">
        <v>2009</v>
      </c>
      <c r="B4">
        <v>30.9</v>
      </c>
      <c r="E4" s="11" t="s">
        <v>49</v>
      </c>
    </row>
    <row r="5" spans="1:5" x14ac:dyDescent="0.35">
      <c r="A5">
        <v>2011</v>
      </c>
      <c r="B5">
        <v>18.5</v>
      </c>
    </row>
    <row r="6" spans="1:5" x14ac:dyDescent="0.35">
      <c r="A6">
        <v>2012</v>
      </c>
      <c r="B6">
        <v>18.3</v>
      </c>
    </row>
    <row r="7" spans="1:5" x14ac:dyDescent="0.35">
      <c r="A7">
        <v>2013</v>
      </c>
      <c r="B7">
        <v>22.8</v>
      </c>
    </row>
    <row r="8" spans="1:5" x14ac:dyDescent="0.35">
      <c r="A8">
        <v>2014</v>
      </c>
      <c r="B8">
        <v>28</v>
      </c>
    </row>
    <row r="9" spans="1:5" x14ac:dyDescent="0.35">
      <c r="A9">
        <v>2015</v>
      </c>
      <c r="B9">
        <v>22.5</v>
      </c>
    </row>
    <row r="10" spans="1:5" x14ac:dyDescent="0.35">
      <c r="A10">
        <v>2016</v>
      </c>
      <c r="B10">
        <v>18.2</v>
      </c>
    </row>
    <row r="11" spans="1:5" x14ac:dyDescent="0.35">
      <c r="A11">
        <v>2017</v>
      </c>
      <c r="B11">
        <v>23.9</v>
      </c>
    </row>
    <row r="12" spans="1:5" x14ac:dyDescent="0.35">
      <c r="A12">
        <v>2018</v>
      </c>
      <c r="B12">
        <v>33.9</v>
      </c>
    </row>
    <row r="13" spans="1:5" x14ac:dyDescent="0.35">
      <c r="A13">
        <v>2019</v>
      </c>
      <c r="B13">
        <v>25.5</v>
      </c>
    </row>
    <row r="14" spans="1:5" x14ac:dyDescent="0.35">
      <c r="A14">
        <v>2020</v>
      </c>
      <c r="B14">
        <v>36.9</v>
      </c>
    </row>
    <row r="15" spans="1:5" x14ac:dyDescent="0.35">
      <c r="A15">
        <v>2021</v>
      </c>
      <c r="B15">
        <v>35</v>
      </c>
    </row>
    <row r="16" spans="1:5" x14ac:dyDescent="0.35">
      <c r="A16">
        <v>2022</v>
      </c>
      <c r="B16">
        <v>32.6</v>
      </c>
    </row>
    <row r="17" spans="1:2" x14ac:dyDescent="0.35">
      <c r="A17">
        <v>2023</v>
      </c>
      <c r="B17">
        <v>38</v>
      </c>
    </row>
    <row r="18" spans="1:2" x14ac:dyDescent="0.35">
      <c r="A18">
        <v>2024</v>
      </c>
      <c r="B18">
        <v>36.200000000000003</v>
      </c>
    </row>
    <row r="19" spans="1:2" x14ac:dyDescent="0.35">
      <c r="A19">
        <v>2025</v>
      </c>
      <c r="B19">
        <v>38.9</v>
      </c>
    </row>
  </sheetData>
  <hyperlinks>
    <hyperlink ref="E4" r:id="rId1" xr:uid="{0101BA4C-9AB7-470D-BCA8-FEDD21B843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PIB</vt:lpstr>
      <vt:lpstr>Tasa participción femenina</vt:lpstr>
      <vt:lpstr>Presupuestos genero</vt:lpstr>
      <vt:lpstr>Brecha salarial</vt:lpstr>
      <vt:lpstr>Mujeres_cargos_directivos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Sarai Belem Briones Dominguez</dc:creator>
  <cp:lastModifiedBy>Eduardo Romano</cp:lastModifiedBy>
  <dcterms:created xsi:type="dcterms:W3CDTF">2025-10-31T18:07:41Z</dcterms:created>
  <dcterms:modified xsi:type="dcterms:W3CDTF">2025-11-03T20:06:10Z</dcterms:modified>
</cp:coreProperties>
</file>